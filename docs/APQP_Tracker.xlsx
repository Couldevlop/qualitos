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QP Tracker" sheetId="1" state="visible" r:id="rId3"/>
    <sheet name="Summary Dashboard" sheetId="2" state="visible" r:id="rId4"/>
  </sheets>
  <definedNames>
    <definedName function="false" hidden="true" localSheetId="0" name="_xlnm._FilterDatabase" vbProcedure="false">'APQP Tracker'!$A$1:$J$49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<sst xmlns="http://schemas.openxmlformats.org/spreadsheetml/2006/main" count="273" uniqueCount="126">
  <si>
    <t xml:space="preserve">#</t>
  </si>
  <si>
    <t xml:space="preserve">Phase</t>
  </si>
  <si>
    <t xml:space="preserve">Deliverable</t>
  </si>
  <si>
    <t xml:space="preserve">Output / Artifact (example)</t>
  </si>
  <si>
    <t xml:space="preserve">PPAP Req'd</t>
  </si>
  <si>
    <t xml:space="preserve">Owner</t>
  </si>
  <si>
    <t xml:space="preserve">Due Date</t>
  </si>
  <si>
    <t xml:space="preserve">Status</t>
  </si>
  <si>
    <t xml:space="preserve">% Complete</t>
  </si>
  <si>
    <t xml:space="preserve">Comments / Notes</t>
  </si>
  <si>
    <t xml:space="preserve">Phase 1 - Planning</t>
  </si>
  <si>
    <t xml:space="preserve">Product design requirements</t>
  </si>
  <si>
    <t xml:space="preserve">VOC summary, engineering spec document, applicable standards/regulatory list, design intent statement</t>
  </si>
  <si>
    <t xml:space="preserve">N</t>
  </si>
  <si>
    <t xml:space="preserve">Not Started</t>
  </si>
  <si>
    <t xml:space="preserve">Project targets (safety, quality/manufacturability, service life, reliability, durability, maintainability, schedule, cost)</t>
  </si>
  <si>
    <t xml:space="preserve">Quantified target sheet (PPM target, warranty target, DFMEA severity thresholds, target cost/piece, program timing milestones) - CFT signed off</t>
  </si>
  <si>
    <t xml:space="preserve">Preliminary listing of Critical Items (CIs) and Key Characteristics (KCs)</t>
  </si>
  <si>
    <t xml:space="preserve">Draft CI register and KC matrix linked to customer print/spec with rationale</t>
  </si>
  <si>
    <t xml:space="preserve">Preliminary BOM</t>
  </si>
  <si>
    <t xml:space="preserve">Multi-level BOM (make/buy flagged), draft part numbering, engineering revision level noted</t>
  </si>
  <si>
    <t xml:space="preserve">Preliminary process flow diagram</t>
  </si>
  <si>
    <t xml:space="preserve">High-level box diagram (receiving to shipping) showing major process steps</t>
  </si>
  <si>
    <t xml:space="preserve">SOW review</t>
  </si>
  <si>
    <t xml:space="preserve">SOW gap analysis / compliance checklist vs. customer contract, action item log</t>
  </si>
  <si>
    <t xml:space="preserve">Preliminary sourcing plan</t>
  </si>
  <si>
    <t xml:space="preserve">Make/buy decision matrix, candidate supplier list, sourcing timing plan</t>
  </si>
  <si>
    <t xml:space="preserve">Project plan</t>
  </si>
  <si>
    <t xml:space="preserve">APQP timing chart (Gantt), RACI/team roster, milestone/gate schedule, program risk log</t>
  </si>
  <si>
    <t xml:space="preserve">Phase 2 - Product Design &amp; Development</t>
  </si>
  <si>
    <t xml:space="preserve">Design risk analysis</t>
  </si>
  <si>
    <t xml:space="preserve">DFMEA (initial), design review checklist, risk ranking (RPN/AP)</t>
  </si>
  <si>
    <t xml:space="preserve">Y</t>
  </si>
  <si>
    <t xml:space="preserve">Design records and BOM (addressing DFMEA findings)</t>
  </si>
  <si>
    <t xml:space="preserve">Released/updated drawings, 3D models, engineering BOM revised to close DFMEA actions</t>
  </si>
  <si>
    <t xml:space="preserve">Special requirements, product KCs and CIs listings</t>
  </si>
  <si>
    <t xml:space="preserve">Finalized special characteristics matrix (customer symbols), CI/KC list with control method flagged</t>
  </si>
  <si>
    <t xml:space="preserve">Preliminary risk analysis of sourcing plan</t>
  </si>
  <si>
    <t xml:space="preserve">Supplier risk assessment (capability, capacity, financial, geographic), mitigation plan</t>
  </si>
  <si>
    <t xml:space="preserve">Packaging specification</t>
  </si>
  <si>
    <t xml:space="preserve">Returnable/expendable packaging spec, packaging drawing, labeling requirements draft</t>
  </si>
  <si>
    <t xml:space="preserve">Design review report</t>
  </si>
  <si>
    <t xml:space="preserve">Formal DR meeting minutes, action item log with owners/due dates, sign-off sheet</t>
  </si>
  <si>
    <t xml:space="preserve">Development product build plan</t>
  </si>
  <si>
    <t xml:space="preserve">Prototype/proto-build control plan, build schedule, resource/tooling requirements</t>
  </si>
  <si>
    <t xml:space="preserve">Design verification and validation plans, and associated results</t>
  </si>
  <si>
    <t xml:space="preserve">DVP&amp;R with test results and pass/fail status</t>
  </si>
  <si>
    <t xml:space="preserve">Feasibility assessment</t>
  </si>
  <si>
    <t xml:space="preserve">Manufacturing feasibility commitment sign-off (mfg, quality, purchasing, tooling), feasibility risk log</t>
  </si>
  <si>
    <t xml:space="preserve">Phase 3 - Process Design &amp; Development</t>
  </si>
  <si>
    <t xml:space="preserve">Process flow diagram</t>
  </si>
  <si>
    <t xml:space="preserve">Detailed station-by-station flow diagram matching PFMEA/Control Plan numbering</t>
  </si>
  <si>
    <t xml:space="preserve">Floor plan layout</t>
  </si>
  <si>
    <t xml:space="preserve">Facility/line layout drawing showing material flow, WIP, inspection points, ergonomics</t>
  </si>
  <si>
    <t xml:space="preserve">Production preparation plan</t>
  </si>
  <si>
    <t xml:space="preserve">Run-at-rate readiness checklist, pre-launch timing plan</t>
  </si>
  <si>
    <t xml:space="preserve">Operator staffing and training plan (HR)</t>
  </si>
  <si>
    <t xml:space="preserve">Skills matrix, training plan/schedule, staffing headcount plan by shift</t>
  </si>
  <si>
    <t xml:space="preserve">PFMEA</t>
  </si>
  <si>
    <t xml:space="preserve">Process FMEA linked to DFMEA/process flow, RPN/AP ranking, action plan</t>
  </si>
  <si>
    <t xml:space="preserve">Process KCs</t>
  </si>
  <si>
    <t xml:space="preserve">Process characteristic list mapped to product KCs, control method identified</t>
  </si>
  <si>
    <t xml:space="preserve">Control plan</t>
  </si>
  <si>
    <t xml:space="preserve">Prototype/Pre-launch Control Plan (inputs, spec, method, sample size/freq, reaction plan)</t>
  </si>
  <si>
    <t xml:space="preserve">Preliminary capacity assessment</t>
  </si>
  <si>
    <t xml:space="preserve">Capacity study (theoretical vs. demonstrated), OEE assumptions, bottleneck analysis</t>
  </si>
  <si>
    <t xml:space="preserve">Work station documentation</t>
  </si>
  <si>
    <t xml:space="preserve">Standard Work Instructions (SWI), visual aids, one-point lessons</t>
  </si>
  <si>
    <t xml:space="preserve">Measurement Systems Analysis (MSA) Plan</t>
  </si>
  <si>
    <t xml:space="preserve">Gage list, MSA study schedule, gage R&amp;R plan per characteristic</t>
  </si>
  <si>
    <t xml:space="preserve">Supply Chain Risk Management Plan</t>
  </si>
  <si>
    <t xml:space="preserve">Sub-tier supplier risk register, contingency/dual-sourcing plan</t>
  </si>
  <si>
    <t xml:space="preserve">Material handling, packaging, labelling, and part marking approvals</t>
  </si>
  <si>
    <t xml:space="preserve">Approved packaging trial report, label/barcode approval, part marking verification</t>
  </si>
  <si>
    <t xml:space="preserve">Production Readiness Review (PRR) results</t>
  </si>
  <si>
    <t xml:space="preserve">PRR scorecard, open issues list, go/no-go decision record</t>
  </si>
  <si>
    <t xml:space="preserve">Phase 4 - Product and Process Validation</t>
  </si>
  <si>
    <t xml:space="preserve">Product from production process run(s)</t>
  </si>
  <si>
    <t xml:space="preserve">Run-at-rate/significant production run report (parts built at rate, tooling/process at intended state)</t>
  </si>
  <si>
    <t xml:space="preserve">MSA</t>
  </si>
  <si>
    <t xml:space="preserve">Gage R&amp;R results (%GRR, ndc), attribute agreement analysis, sign-off</t>
  </si>
  <si>
    <t xml:space="preserve">Initial process capability studies</t>
  </si>
  <si>
    <t xml:space="preserve">Cpk/Ppk study report per KC, capability summary sheet</t>
  </si>
  <si>
    <t xml:space="preserve">Production Control Plan (finalized, post run-at-rate)</t>
  </si>
  <si>
    <t xml:space="preserve">Capacity verification</t>
  </si>
  <si>
    <t xml:space="preserve">Actual demonstrated capacity report vs. customer demand (parts/hr, OEE)</t>
  </si>
  <si>
    <t xml:space="preserve">Product validation results</t>
  </si>
  <si>
    <t xml:space="preserve">Functional/performance test report against DVP&amp;R at production intent</t>
  </si>
  <si>
    <t xml:space="preserve">First Article Inspection Report (FAIR)</t>
  </si>
  <si>
    <t xml:space="preserve">AS9102 or equivalent FAIR, ballooned drawing, characteristic accountability</t>
  </si>
  <si>
    <t xml:space="preserve">PPAP file and approval form</t>
  </si>
  <si>
    <t xml:space="preserve">Full PPAP package (elements 1-18 per AIAG), PSW signed by customer</t>
  </si>
  <si>
    <t xml:space="preserve">Customer specific requirements</t>
  </si>
  <si>
    <t xml:space="preserve">CSR compliance checklist/matrix, evidence file per customer portal requirements</t>
  </si>
  <si>
    <t xml:space="preserve">Phase 5 - Serial Production and Feedback</t>
  </si>
  <si>
    <t xml:space="preserve">Quality indices (CpK, PPM, rejection rates)</t>
  </si>
  <si>
    <t xml:space="preserve">SPC dashboard, monthly quality scorecard, trend charts</t>
  </si>
  <si>
    <t xml:space="preserve">Key Performance Indicators (KPIs)</t>
  </si>
  <si>
    <t xml:space="preserve">KPI dashboard (safety, quality, delivery, cost) with targets vs. actuals</t>
  </si>
  <si>
    <t xml:space="preserve">Evidence that project targets have been met</t>
  </si>
  <si>
    <t xml:space="preserve">Phase 1 target closure report/matrix (traceability from targets to actual results)</t>
  </si>
  <si>
    <t xml:space="preserve">On-time Delivery (OTD) and capacity KPIs</t>
  </si>
  <si>
    <t xml:space="preserve">OTD trend report, capacity utilization report</t>
  </si>
  <si>
    <t xml:space="preserve">OTD and capacity improvement plan</t>
  </si>
  <si>
    <t xml:space="preserve">Corrective action plan with milestones for any red KPIs</t>
  </si>
  <si>
    <t xml:space="preserve">Project closure recommendations</t>
  </si>
  <si>
    <t xml:space="preserve">Program closure report, open issue disposition, customer sign-off</t>
  </si>
  <si>
    <t xml:space="preserve">Continuous improvement actions</t>
  </si>
  <si>
    <t xml:space="preserve">Kaizen/CI action log, cost/quality improvement tracker</t>
  </si>
  <si>
    <t xml:space="preserve">Lessons learned</t>
  </si>
  <si>
    <t xml:space="preserve">Lessons learned register (technical, process, program management)</t>
  </si>
  <si>
    <t xml:space="preserve">Updated design risk analysis, PFMEA, and control plans</t>
  </si>
  <si>
    <t xml:space="preserve">Revision-controlled living documents updated per field/warranty data, ECNs, or CI actions</t>
  </si>
  <si>
    <t xml:space="preserve">APQP Program Status Dashboard</t>
  </si>
  <si>
    <t xml:space="preserve">Auto-calculated from APQP Tracker sheet — update owner/due date/status there.</t>
  </si>
  <si>
    <t xml:space="preserve">Count</t>
  </si>
  <si>
    <t xml:space="preserve">Total Items</t>
  </si>
  <si>
    <t xml:space="preserve">Complete</t>
  </si>
  <si>
    <t xml:space="preserve">In Progress</t>
  </si>
  <si>
    <t xml:space="preserve">At Risk</t>
  </si>
  <si>
    <t xml:space="preserve">Blocked</t>
  </si>
  <si>
    <t xml:space="preserve">N/A</t>
  </si>
  <si>
    <t xml:space="preserve">Total Deliverables</t>
  </si>
  <si>
    <t xml:space="preserve">PPAP-Required Elements</t>
  </si>
  <si>
    <t xml:space="preserve">Total PPAP items</t>
  </si>
  <si>
    <t xml:space="preserve">PPAP items complete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</si>
</sst>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F2F2F2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n">
        <v>1</v>
      </c>
      <c r="B2" s="3" t="s">
        <v>10</v>
      </c>
      <c r="C2" s="4" t="s">
        <v>11</v>
      </c>
      <c r="D2" s="4" t="s">
        <v>12</v>
      </c>
      <c r="E2" s="2" t="s">
        <v>13</v>
      </c>
      <c r="F2" s="2"/>
      <c r="G2" s="5"/>
      <c r="H2" s="2" t="s">
        <v>14</v>
      </c>
      <c r="I2" s="6" t="n">
        <v>0</v>
      </c>
      <c r="J2" s="4"/>
    </row>
    <row r="3" customFormat="false" ht="46.25" hidden="false" customHeight="false" outlineLevel="0" collapsed="false">
      <c r="A3" s="2" t="n">
        <v>2</v>
      </c>
      <c r="B3" s="3" t="s">
        <v>10</v>
      </c>
      <c r="C3" s="4" t="s">
        <v>15</v>
      </c>
      <c r="D3" s="4" t="s">
        <v>16</v>
      </c>
      <c r="E3" s="2" t="s">
        <v>13</v>
      </c>
      <c r="F3" s="2"/>
      <c r="G3" s="5"/>
      <c r="H3" s="2" t="s">
        <v>14</v>
      </c>
      <c r="I3" s="6" t="n">
        <v>0</v>
      </c>
      <c r="J3" s="4"/>
    </row>
    <row r="4" customFormat="false" ht="23.85" hidden="false" customHeight="false" outlineLevel="0" collapsed="false">
      <c r="A4" s="2" t="n">
        <v>3</v>
      </c>
      <c r="B4" s="3" t="s">
        <v>10</v>
      </c>
      <c r="C4" s="4" t="s">
        <v>17</v>
      </c>
      <c r="D4" s="4" t="s">
        <v>18</v>
      </c>
      <c r="E4" s="2" t="s">
        <v>13</v>
      </c>
      <c r="F4" s="2"/>
      <c r="G4" s="5"/>
      <c r="H4" s="2" t="s">
        <v>14</v>
      </c>
      <c r="I4" s="6" t="n">
        <v>0</v>
      </c>
      <c r="J4" s="4"/>
    </row>
    <row r="5" customFormat="false" ht="23.85" hidden="false" customHeight="false" outlineLevel="0" collapsed="false">
      <c r="A5" s="2" t="n">
        <v>4</v>
      </c>
      <c r="B5" s="3" t="s">
        <v>10</v>
      </c>
      <c r="C5" s="4" t="s">
        <v>19</v>
      </c>
      <c r="D5" s="4" t="s">
        <v>20</v>
      </c>
      <c r="E5" s="2" t="s">
        <v>13</v>
      </c>
      <c r="F5" s="2"/>
      <c r="G5" s="5"/>
      <c r="H5" s="2" t="s">
        <v>14</v>
      </c>
      <c r="I5" s="6" t="n">
        <v>0</v>
      </c>
      <c r="J5" s="4"/>
    </row>
    <row r="6" customFormat="false" ht="23.85" hidden="false" customHeight="false" outlineLevel="0" collapsed="false">
      <c r="A6" s="2" t="n">
        <v>5</v>
      </c>
      <c r="B6" s="3" t="s">
        <v>10</v>
      </c>
      <c r="C6" s="4" t="s">
        <v>21</v>
      </c>
      <c r="D6" s="4" t="s">
        <v>22</v>
      </c>
      <c r="E6" s="2" t="s">
        <v>13</v>
      </c>
      <c r="F6" s="2"/>
      <c r="G6" s="5"/>
      <c r="H6" s="2" t="s">
        <v>14</v>
      </c>
      <c r="I6" s="6" t="n">
        <v>0</v>
      </c>
      <c r="J6" s="4"/>
    </row>
    <row r="7" customFormat="false" ht="23.85" hidden="false" customHeight="false" outlineLevel="0" collapsed="false">
      <c r="A7" s="2" t="n">
        <v>6</v>
      </c>
      <c r="B7" s="3" t="s">
        <v>10</v>
      </c>
      <c r="C7" s="4" t="s">
        <v>23</v>
      </c>
      <c r="D7" s="4" t="s">
        <v>24</v>
      </c>
      <c r="E7" s="2" t="s">
        <v>13</v>
      </c>
      <c r="F7" s="2"/>
      <c r="G7" s="5"/>
      <c r="H7" s="2" t="s">
        <v>14</v>
      </c>
      <c r="I7" s="6" t="n">
        <v>0</v>
      </c>
      <c r="J7" s="4"/>
    </row>
    <row r="8" customFormat="false" ht="23.85" hidden="false" customHeight="false" outlineLevel="0" collapsed="false">
      <c r="A8" s="2" t="n">
        <v>7</v>
      </c>
      <c r="B8" s="3" t="s">
        <v>10</v>
      </c>
      <c r="C8" s="4" t="s">
        <v>25</v>
      </c>
      <c r="D8" s="4" t="s">
        <v>26</v>
      </c>
      <c r="E8" s="2" t="s">
        <v>13</v>
      </c>
      <c r="F8" s="2"/>
      <c r="G8" s="5"/>
      <c r="H8" s="2" t="s">
        <v>14</v>
      </c>
      <c r="I8" s="6" t="n">
        <v>0</v>
      </c>
      <c r="J8" s="4"/>
    </row>
    <row r="9" customFormat="false" ht="23.85" hidden="false" customHeight="false" outlineLevel="0" collapsed="false">
      <c r="A9" s="2" t="n">
        <v>8</v>
      </c>
      <c r="B9" s="3" t="s">
        <v>10</v>
      </c>
      <c r="C9" s="4" t="s">
        <v>27</v>
      </c>
      <c r="D9" s="4" t="s">
        <v>28</v>
      </c>
      <c r="E9" s="2" t="s">
        <v>13</v>
      </c>
      <c r="F9" s="2"/>
      <c r="G9" s="5"/>
      <c r="H9" s="2" t="s">
        <v>14</v>
      </c>
      <c r="I9" s="6" t="n">
        <v>0</v>
      </c>
      <c r="J9" s="4"/>
    </row>
    <row r="10" customFormat="false" ht="23.85" hidden="false" customHeight="false" outlineLevel="0" collapsed="false">
      <c r="A10" s="2" t="n">
        <v>9</v>
      </c>
      <c r="B10" s="7" t="s">
        <v>29</v>
      </c>
      <c r="C10" s="4" t="s">
        <v>30</v>
      </c>
      <c r="D10" s="4" t="s">
        <v>31</v>
      </c>
      <c r="E10" s="2" t="s">
        <v>32</v>
      </c>
      <c r="F10" s="2"/>
      <c r="G10" s="5"/>
      <c r="H10" s="2" t="s">
        <v>14</v>
      </c>
      <c r="I10" s="6" t="n">
        <v>0</v>
      </c>
      <c r="J10" s="4"/>
    </row>
    <row r="11" customFormat="false" ht="23.85" hidden="false" customHeight="false" outlineLevel="0" collapsed="false">
      <c r="A11" s="2" t="n">
        <v>10</v>
      </c>
      <c r="B11" s="7" t="s">
        <v>29</v>
      </c>
      <c r="C11" s="4" t="s">
        <v>33</v>
      </c>
      <c r="D11" s="4" t="s">
        <v>34</v>
      </c>
      <c r="E11" s="2" t="s">
        <v>32</v>
      </c>
      <c r="F11" s="2"/>
      <c r="G11" s="5"/>
      <c r="H11" s="2" t="s">
        <v>14</v>
      </c>
      <c r="I11" s="6" t="n">
        <v>0</v>
      </c>
      <c r="J11" s="4"/>
    </row>
    <row r="12" customFormat="false" ht="23.85" hidden="false" customHeight="false" outlineLevel="0" collapsed="false">
      <c r="A12" s="2" t="n">
        <v>11</v>
      </c>
      <c r="B12" s="7" t="s">
        <v>29</v>
      </c>
      <c r="C12" s="4" t="s">
        <v>35</v>
      </c>
      <c r="D12" s="4" t="s">
        <v>36</v>
      </c>
      <c r="E12" s="2" t="s">
        <v>13</v>
      </c>
      <c r="F12" s="2"/>
      <c r="G12" s="5"/>
      <c r="H12" s="2" t="s">
        <v>14</v>
      </c>
      <c r="I12" s="6" t="n">
        <v>0</v>
      </c>
      <c r="J12" s="4"/>
    </row>
    <row r="13" customFormat="false" ht="23.85" hidden="false" customHeight="false" outlineLevel="0" collapsed="false">
      <c r="A13" s="2" t="n">
        <v>12</v>
      </c>
      <c r="B13" s="7" t="s">
        <v>29</v>
      </c>
      <c r="C13" s="4" t="s">
        <v>37</v>
      </c>
      <c r="D13" s="4" t="s">
        <v>38</v>
      </c>
      <c r="E13" s="2" t="s">
        <v>13</v>
      </c>
      <c r="F13" s="2"/>
      <c r="G13" s="5"/>
      <c r="H13" s="2" t="s">
        <v>14</v>
      </c>
      <c r="I13" s="6" t="n">
        <v>0</v>
      </c>
      <c r="J13" s="4"/>
    </row>
    <row r="14" customFormat="false" ht="23.85" hidden="false" customHeight="false" outlineLevel="0" collapsed="false">
      <c r="A14" s="2" t="n">
        <v>13</v>
      </c>
      <c r="B14" s="7" t="s">
        <v>29</v>
      </c>
      <c r="C14" s="4" t="s">
        <v>39</v>
      </c>
      <c r="D14" s="4" t="s">
        <v>40</v>
      </c>
      <c r="E14" s="2" t="s">
        <v>13</v>
      </c>
      <c r="F14" s="2"/>
      <c r="G14" s="5"/>
      <c r="H14" s="2" t="s">
        <v>14</v>
      </c>
      <c r="I14" s="6" t="n">
        <v>0</v>
      </c>
      <c r="J14" s="4"/>
    </row>
    <row r="15" customFormat="false" ht="23.85" hidden="false" customHeight="false" outlineLevel="0" collapsed="false">
      <c r="A15" s="2" t="n">
        <v>14</v>
      </c>
      <c r="B15" s="7" t="s">
        <v>29</v>
      </c>
      <c r="C15" s="4" t="s">
        <v>41</v>
      </c>
      <c r="D15" s="4" t="s">
        <v>42</v>
      </c>
      <c r="E15" s="2" t="s">
        <v>13</v>
      </c>
      <c r="F15" s="2"/>
      <c r="G15" s="5"/>
      <c r="H15" s="2" t="s">
        <v>14</v>
      </c>
      <c r="I15" s="6" t="n">
        <v>0</v>
      </c>
      <c r="J15" s="4"/>
    </row>
    <row r="16" customFormat="false" ht="23.85" hidden="false" customHeight="false" outlineLevel="0" collapsed="false">
      <c r="A16" s="2" t="n">
        <v>15</v>
      </c>
      <c r="B16" s="7" t="s">
        <v>29</v>
      </c>
      <c r="C16" s="4" t="s">
        <v>43</v>
      </c>
      <c r="D16" s="4" t="s">
        <v>44</v>
      </c>
      <c r="E16" s="2" t="s">
        <v>13</v>
      </c>
      <c r="F16" s="2"/>
      <c r="G16" s="5"/>
      <c r="H16" s="2" t="s">
        <v>14</v>
      </c>
      <c r="I16" s="6" t="n">
        <v>0</v>
      </c>
      <c r="J16" s="4"/>
    </row>
    <row r="17" customFormat="false" ht="23.85" hidden="false" customHeight="false" outlineLevel="0" collapsed="false">
      <c r="A17" s="2" t="n">
        <v>16</v>
      </c>
      <c r="B17" s="7" t="s">
        <v>29</v>
      </c>
      <c r="C17" s="4" t="s">
        <v>45</v>
      </c>
      <c r="D17" s="4" t="s">
        <v>46</v>
      </c>
      <c r="E17" s="2" t="s">
        <v>13</v>
      </c>
      <c r="F17" s="2"/>
      <c r="G17" s="5"/>
      <c r="H17" s="2" t="s">
        <v>14</v>
      </c>
      <c r="I17" s="6" t="n">
        <v>0</v>
      </c>
      <c r="J17" s="4"/>
    </row>
    <row r="18" customFormat="false" ht="23.85" hidden="false" customHeight="false" outlineLevel="0" collapsed="false">
      <c r="A18" s="2" t="n">
        <v>17</v>
      </c>
      <c r="B18" s="7" t="s">
        <v>29</v>
      </c>
      <c r="C18" s="4" t="s">
        <v>47</v>
      </c>
      <c r="D18" s="4" t="s">
        <v>48</v>
      </c>
      <c r="E18" s="2" t="s">
        <v>13</v>
      </c>
      <c r="F18" s="2"/>
      <c r="G18" s="5"/>
      <c r="H18" s="2" t="s">
        <v>14</v>
      </c>
      <c r="I18" s="6" t="n">
        <v>0</v>
      </c>
      <c r="J18" s="4"/>
    </row>
    <row r="19" customFormat="false" ht="23.85" hidden="false" customHeight="false" outlineLevel="0" collapsed="false">
      <c r="A19" s="2" t="n">
        <v>18</v>
      </c>
      <c r="B19" s="8" t="s">
        <v>49</v>
      </c>
      <c r="C19" s="4" t="s">
        <v>50</v>
      </c>
      <c r="D19" s="4" t="s">
        <v>51</v>
      </c>
      <c r="E19" s="2" t="s">
        <v>32</v>
      </c>
      <c r="F19" s="2"/>
      <c r="G19" s="5"/>
      <c r="H19" s="2" t="s">
        <v>14</v>
      </c>
      <c r="I19" s="6" t="n">
        <v>0</v>
      </c>
      <c r="J19" s="4"/>
    </row>
    <row r="20" customFormat="false" ht="23.85" hidden="false" customHeight="false" outlineLevel="0" collapsed="false">
      <c r="A20" s="2" t="n">
        <v>19</v>
      </c>
      <c r="B20" s="8" t="s">
        <v>49</v>
      </c>
      <c r="C20" s="4" t="s">
        <v>52</v>
      </c>
      <c r="D20" s="4" t="s">
        <v>53</v>
      </c>
      <c r="E20" s="2" t="s">
        <v>13</v>
      </c>
      <c r="F20" s="2"/>
      <c r="G20" s="5"/>
      <c r="H20" s="2" t="s">
        <v>14</v>
      </c>
      <c r="I20" s="6" t="n">
        <v>0</v>
      </c>
      <c r="J20" s="4"/>
    </row>
    <row r="21" customFormat="false" ht="15" hidden="false" customHeight="false" outlineLevel="0" collapsed="false">
      <c r="A21" s="2" t="n">
        <v>20</v>
      </c>
      <c r="B21" s="8" t="s">
        <v>49</v>
      </c>
      <c r="C21" s="4" t="s">
        <v>54</v>
      </c>
      <c r="D21" s="4" t="s">
        <v>55</v>
      </c>
      <c r="E21" s="2" t="s">
        <v>13</v>
      </c>
      <c r="F21" s="2"/>
      <c r="G21" s="5"/>
      <c r="H21" s="2" t="s">
        <v>14</v>
      </c>
      <c r="I21" s="6" t="n">
        <v>0</v>
      </c>
      <c r="J21" s="4"/>
    </row>
    <row r="22" customFormat="false" ht="23.85" hidden="false" customHeight="false" outlineLevel="0" collapsed="false">
      <c r="A22" s="2" t="n">
        <v>21</v>
      </c>
      <c r="B22" s="8" t="s">
        <v>49</v>
      </c>
      <c r="C22" s="4" t="s">
        <v>56</v>
      </c>
      <c r="D22" s="4" t="s">
        <v>57</v>
      </c>
      <c r="E22" s="2" t="s">
        <v>13</v>
      </c>
      <c r="F22" s="2"/>
      <c r="G22" s="5"/>
      <c r="H22" s="2" t="s">
        <v>14</v>
      </c>
      <c r="I22" s="6" t="n">
        <v>0</v>
      </c>
      <c r="J22" s="4"/>
    </row>
    <row r="23" customFormat="false" ht="23.85" hidden="false" customHeight="false" outlineLevel="0" collapsed="false">
      <c r="A23" s="2" t="n">
        <v>22</v>
      </c>
      <c r="B23" s="8" t="s">
        <v>49</v>
      </c>
      <c r="C23" s="4" t="s">
        <v>58</v>
      </c>
      <c r="D23" s="4" t="s">
        <v>59</v>
      </c>
      <c r="E23" s="2" t="s">
        <v>32</v>
      </c>
      <c r="F23" s="2"/>
      <c r="G23" s="5"/>
      <c r="H23" s="2" t="s">
        <v>14</v>
      </c>
      <c r="I23" s="6" t="n">
        <v>0</v>
      </c>
      <c r="J23" s="4"/>
    </row>
    <row r="24" customFormat="false" ht="23.85" hidden="false" customHeight="false" outlineLevel="0" collapsed="false">
      <c r="A24" s="2" t="n">
        <v>23</v>
      </c>
      <c r="B24" s="8" t="s">
        <v>49</v>
      </c>
      <c r="C24" s="4" t="s">
        <v>60</v>
      </c>
      <c r="D24" s="4" t="s">
        <v>61</v>
      </c>
      <c r="E24" s="2" t="s">
        <v>13</v>
      </c>
      <c r="F24" s="2"/>
      <c r="G24" s="5"/>
      <c r="H24" s="2" t="s">
        <v>14</v>
      </c>
      <c r="I24" s="6" t="n">
        <v>0</v>
      </c>
      <c r="J24" s="4"/>
    </row>
    <row r="25" customFormat="false" ht="23.85" hidden="false" customHeight="false" outlineLevel="0" collapsed="false">
      <c r="A25" s="2" t="n">
        <v>24</v>
      </c>
      <c r="B25" s="8" t="s">
        <v>49</v>
      </c>
      <c r="C25" s="4" t="s">
        <v>62</v>
      </c>
      <c r="D25" s="4" t="s">
        <v>63</v>
      </c>
      <c r="E25" s="2" t="s">
        <v>32</v>
      </c>
      <c r="F25" s="2"/>
      <c r="G25" s="5"/>
      <c r="H25" s="2" t="s">
        <v>14</v>
      </c>
      <c r="I25" s="6" t="n">
        <v>0</v>
      </c>
      <c r="J25" s="4"/>
    </row>
    <row r="26" customFormat="false" ht="23.85" hidden="false" customHeight="false" outlineLevel="0" collapsed="false">
      <c r="A26" s="2" t="n">
        <v>25</v>
      </c>
      <c r="B26" s="8" t="s">
        <v>49</v>
      </c>
      <c r="C26" s="4" t="s">
        <v>64</v>
      </c>
      <c r="D26" s="4" t="s">
        <v>65</v>
      </c>
      <c r="E26" s="2" t="s">
        <v>13</v>
      </c>
      <c r="F26" s="2"/>
      <c r="G26" s="5"/>
      <c r="H26" s="2" t="s">
        <v>14</v>
      </c>
      <c r="I26" s="6" t="n">
        <v>0</v>
      </c>
      <c r="J26" s="4"/>
    </row>
    <row r="27" customFormat="false" ht="23.85" hidden="false" customHeight="false" outlineLevel="0" collapsed="false">
      <c r="A27" s="2" t="n">
        <v>26</v>
      </c>
      <c r="B27" s="8" t="s">
        <v>49</v>
      </c>
      <c r="C27" s="4" t="s">
        <v>66</v>
      </c>
      <c r="D27" s="4" t="s">
        <v>67</v>
      </c>
      <c r="E27" s="2" t="s">
        <v>13</v>
      </c>
      <c r="F27" s="2"/>
      <c r="G27" s="5"/>
      <c r="H27" s="2" t="s">
        <v>14</v>
      </c>
      <c r="I27" s="6" t="n">
        <v>0</v>
      </c>
      <c r="J27" s="4"/>
    </row>
    <row r="28" customFormat="false" ht="23.85" hidden="false" customHeight="false" outlineLevel="0" collapsed="false">
      <c r="A28" s="2" t="n">
        <v>27</v>
      </c>
      <c r="B28" s="8" t="s">
        <v>49</v>
      </c>
      <c r="C28" s="4" t="s">
        <v>68</v>
      </c>
      <c r="D28" s="4" t="s">
        <v>69</v>
      </c>
      <c r="E28" s="2" t="s">
        <v>13</v>
      </c>
      <c r="F28" s="2"/>
      <c r="G28" s="5"/>
      <c r="H28" s="2" t="s">
        <v>14</v>
      </c>
      <c r="I28" s="6" t="n">
        <v>0</v>
      </c>
      <c r="J28" s="4"/>
    </row>
    <row r="29" customFormat="false" ht="23.85" hidden="false" customHeight="false" outlineLevel="0" collapsed="false">
      <c r="A29" s="2" t="n">
        <v>28</v>
      </c>
      <c r="B29" s="8" t="s">
        <v>49</v>
      </c>
      <c r="C29" s="4" t="s">
        <v>70</v>
      </c>
      <c r="D29" s="4" t="s">
        <v>71</v>
      </c>
      <c r="E29" s="2" t="s">
        <v>13</v>
      </c>
      <c r="F29" s="2"/>
      <c r="G29" s="5"/>
      <c r="H29" s="2" t="s">
        <v>14</v>
      </c>
      <c r="I29" s="6" t="n">
        <v>0</v>
      </c>
      <c r="J29" s="4"/>
    </row>
    <row r="30" customFormat="false" ht="23.85" hidden="false" customHeight="false" outlineLevel="0" collapsed="false">
      <c r="A30" s="2" t="n">
        <v>29</v>
      </c>
      <c r="B30" s="8" t="s">
        <v>49</v>
      </c>
      <c r="C30" s="4" t="s">
        <v>72</v>
      </c>
      <c r="D30" s="4" t="s">
        <v>73</v>
      </c>
      <c r="E30" s="2" t="s">
        <v>32</v>
      </c>
      <c r="F30" s="2"/>
      <c r="G30" s="5"/>
      <c r="H30" s="2" t="s">
        <v>14</v>
      </c>
      <c r="I30" s="6" t="n">
        <v>0</v>
      </c>
      <c r="J30" s="4"/>
    </row>
    <row r="31" customFormat="false" ht="23.85" hidden="false" customHeight="false" outlineLevel="0" collapsed="false">
      <c r="A31" s="2" t="n">
        <v>30</v>
      </c>
      <c r="B31" s="8" t="s">
        <v>49</v>
      </c>
      <c r="C31" s="4" t="s">
        <v>74</v>
      </c>
      <c r="D31" s="4" t="s">
        <v>75</v>
      </c>
      <c r="E31" s="2" t="s">
        <v>13</v>
      </c>
      <c r="F31" s="2"/>
      <c r="G31" s="5"/>
      <c r="H31" s="2" t="s">
        <v>14</v>
      </c>
      <c r="I31" s="6" t="n">
        <v>0</v>
      </c>
      <c r="J31" s="4"/>
    </row>
    <row r="32" customFormat="false" ht="23.85" hidden="false" customHeight="false" outlineLevel="0" collapsed="false">
      <c r="A32" s="2" t="n">
        <v>31</v>
      </c>
      <c r="B32" s="9" t="s">
        <v>76</v>
      </c>
      <c r="C32" s="4" t="s">
        <v>77</v>
      </c>
      <c r="D32" s="4" t="s">
        <v>78</v>
      </c>
      <c r="E32" s="2" t="s">
        <v>13</v>
      </c>
      <c r="F32" s="2"/>
      <c r="G32" s="5"/>
      <c r="H32" s="2" t="s">
        <v>14</v>
      </c>
      <c r="I32" s="6" t="n">
        <v>0</v>
      </c>
      <c r="J32" s="4"/>
    </row>
    <row r="33" customFormat="false" ht="23.85" hidden="false" customHeight="false" outlineLevel="0" collapsed="false">
      <c r="A33" s="2" t="n">
        <v>32</v>
      </c>
      <c r="B33" s="9" t="s">
        <v>76</v>
      </c>
      <c r="C33" s="4" t="s">
        <v>79</v>
      </c>
      <c r="D33" s="4" t="s">
        <v>80</v>
      </c>
      <c r="E33" s="2" t="s">
        <v>32</v>
      </c>
      <c r="F33" s="2"/>
      <c r="G33" s="5"/>
      <c r="H33" s="2" t="s">
        <v>14</v>
      </c>
      <c r="I33" s="6" t="n">
        <v>0</v>
      </c>
      <c r="J33" s="4"/>
    </row>
    <row r="34" customFormat="false" ht="15" hidden="false" customHeight="false" outlineLevel="0" collapsed="false">
      <c r="A34" s="2" t="n">
        <v>33</v>
      </c>
      <c r="B34" s="9" t="s">
        <v>76</v>
      </c>
      <c r="C34" s="4" t="s">
        <v>81</v>
      </c>
      <c r="D34" s="4" t="s">
        <v>82</v>
      </c>
      <c r="E34" s="2" t="s">
        <v>32</v>
      </c>
      <c r="F34" s="2"/>
      <c r="G34" s="5"/>
      <c r="H34" s="2" t="s">
        <v>14</v>
      </c>
      <c r="I34" s="6" t="n">
        <v>0</v>
      </c>
      <c r="J34" s="4"/>
    </row>
    <row r="35" customFormat="false" ht="15" hidden="false" customHeight="false" outlineLevel="0" collapsed="false">
      <c r="A35" s="2" t="n">
        <v>34</v>
      </c>
      <c r="B35" s="9" t="s">
        <v>76</v>
      </c>
      <c r="C35" s="4" t="s">
        <v>62</v>
      </c>
      <c r="D35" s="4" t="s">
        <v>83</v>
      </c>
      <c r="E35" s="2" t="s">
        <v>32</v>
      </c>
      <c r="F35" s="2"/>
      <c r="G35" s="5"/>
      <c r="H35" s="2" t="s">
        <v>14</v>
      </c>
      <c r="I35" s="6" t="n">
        <v>0</v>
      </c>
      <c r="J35" s="4"/>
    </row>
    <row r="36" customFormat="false" ht="23.85" hidden="false" customHeight="false" outlineLevel="0" collapsed="false">
      <c r="A36" s="2" t="n">
        <v>35</v>
      </c>
      <c r="B36" s="9" t="s">
        <v>76</v>
      </c>
      <c r="C36" s="4" t="s">
        <v>84</v>
      </c>
      <c r="D36" s="4" t="s">
        <v>85</v>
      </c>
      <c r="E36" s="2" t="s">
        <v>13</v>
      </c>
      <c r="F36" s="2"/>
      <c r="G36" s="5"/>
      <c r="H36" s="2" t="s">
        <v>14</v>
      </c>
      <c r="I36" s="6" t="n">
        <v>0</v>
      </c>
      <c r="J36" s="4"/>
    </row>
    <row r="37" customFormat="false" ht="23.85" hidden="false" customHeight="false" outlineLevel="0" collapsed="false">
      <c r="A37" s="2" t="n">
        <v>36</v>
      </c>
      <c r="B37" s="9" t="s">
        <v>76</v>
      </c>
      <c r="C37" s="4" t="s">
        <v>86</v>
      </c>
      <c r="D37" s="4" t="s">
        <v>87</v>
      </c>
      <c r="E37" s="2" t="s">
        <v>13</v>
      </c>
      <c r="F37" s="2"/>
      <c r="G37" s="5"/>
      <c r="H37" s="2" t="s">
        <v>14</v>
      </c>
      <c r="I37" s="6" t="n">
        <v>0</v>
      </c>
      <c r="J37" s="4"/>
    </row>
    <row r="38" customFormat="false" ht="23.85" hidden="false" customHeight="false" outlineLevel="0" collapsed="false">
      <c r="A38" s="2" t="n">
        <v>37</v>
      </c>
      <c r="B38" s="9" t="s">
        <v>76</v>
      </c>
      <c r="C38" s="4" t="s">
        <v>88</v>
      </c>
      <c r="D38" s="4" t="s">
        <v>89</v>
      </c>
      <c r="E38" s="2" t="s">
        <v>32</v>
      </c>
      <c r="F38" s="2"/>
      <c r="G38" s="5"/>
      <c r="H38" s="2" t="s">
        <v>14</v>
      </c>
      <c r="I38" s="6" t="n">
        <v>0</v>
      </c>
      <c r="J38" s="4"/>
    </row>
    <row r="39" customFormat="false" ht="23.85" hidden="false" customHeight="false" outlineLevel="0" collapsed="false">
      <c r="A39" s="2" t="n">
        <v>38</v>
      </c>
      <c r="B39" s="9" t="s">
        <v>76</v>
      </c>
      <c r="C39" s="4" t="s">
        <v>90</v>
      </c>
      <c r="D39" s="4" t="s">
        <v>91</v>
      </c>
      <c r="E39" s="2" t="s">
        <v>32</v>
      </c>
      <c r="F39" s="2"/>
      <c r="G39" s="5"/>
      <c r="H39" s="2" t="s">
        <v>14</v>
      </c>
      <c r="I39" s="6" t="n">
        <v>0</v>
      </c>
      <c r="J39" s="4"/>
    </row>
    <row r="40" customFormat="false" ht="23.85" hidden="false" customHeight="false" outlineLevel="0" collapsed="false">
      <c r="A40" s="2" t="n">
        <v>39</v>
      </c>
      <c r="B40" s="9" t="s">
        <v>76</v>
      </c>
      <c r="C40" s="4" t="s">
        <v>92</v>
      </c>
      <c r="D40" s="4" t="s">
        <v>93</v>
      </c>
      <c r="E40" s="2" t="s">
        <v>32</v>
      </c>
      <c r="F40" s="2"/>
      <c r="G40" s="5"/>
      <c r="H40" s="2" t="s">
        <v>14</v>
      </c>
      <c r="I40" s="6" t="n">
        <v>0</v>
      </c>
      <c r="J40" s="4"/>
    </row>
    <row r="41" customFormat="false" ht="23.85" hidden="false" customHeight="false" outlineLevel="0" collapsed="false">
      <c r="A41" s="2" t="n">
        <v>40</v>
      </c>
      <c r="B41" s="10" t="s">
        <v>94</v>
      </c>
      <c r="C41" s="4" t="s">
        <v>95</v>
      </c>
      <c r="D41" s="4" t="s">
        <v>96</v>
      </c>
      <c r="E41" s="2" t="s">
        <v>13</v>
      </c>
      <c r="F41" s="2"/>
      <c r="G41" s="5"/>
      <c r="H41" s="2" t="s">
        <v>14</v>
      </c>
      <c r="I41" s="6" t="n">
        <v>0</v>
      </c>
      <c r="J41" s="4"/>
    </row>
    <row r="42" customFormat="false" ht="23.85" hidden="false" customHeight="false" outlineLevel="0" collapsed="false">
      <c r="A42" s="2" t="n">
        <v>41</v>
      </c>
      <c r="B42" s="10" t="s">
        <v>94</v>
      </c>
      <c r="C42" s="4" t="s">
        <v>97</v>
      </c>
      <c r="D42" s="4" t="s">
        <v>98</v>
      </c>
      <c r="E42" s="2" t="s">
        <v>13</v>
      </c>
      <c r="F42" s="2"/>
      <c r="G42" s="5"/>
      <c r="H42" s="2" t="s">
        <v>14</v>
      </c>
      <c r="I42" s="6" t="n">
        <v>0</v>
      </c>
      <c r="J42" s="4"/>
    </row>
    <row r="43" customFormat="false" ht="23.85" hidden="false" customHeight="false" outlineLevel="0" collapsed="false">
      <c r="A43" s="2" t="n">
        <v>42</v>
      </c>
      <c r="B43" s="10" t="s">
        <v>94</v>
      </c>
      <c r="C43" s="4" t="s">
        <v>99</v>
      </c>
      <c r="D43" s="4" t="s">
        <v>100</v>
      </c>
      <c r="E43" s="2" t="s">
        <v>13</v>
      </c>
      <c r="F43" s="2"/>
      <c r="G43" s="5"/>
      <c r="H43" s="2" t="s">
        <v>14</v>
      </c>
      <c r="I43" s="6" t="n">
        <v>0</v>
      </c>
      <c r="J43" s="4"/>
    </row>
    <row r="44" customFormat="false" ht="23.85" hidden="false" customHeight="false" outlineLevel="0" collapsed="false">
      <c r="A44" s="2" t="n">
        <v>43</v>
      </c>
      <c r="B44" s="10" t="s">
        <v>94</v>
      </c>
      <c r="C44" s="4" t="s">
        <v>101</v>
      </c>
      <c r="D44" s="4" t="s">
        <v>102</v>
      </c>
      <c r="E44" s="2" t="s">
        <v>13</v>
      </c>
      <c r="F44" s="2"/>
      <c r="G44" s="5"/>
      <c r="H44" s="2" t="s">
        <v>14</v>
      </c>
      <c r="I44" s="6" t="n">
        <v>0</v>
      </c>
      <c r="J44" s="4"/>
    </row>
    <row r="45" customFormat="false" ht="15" hidden="false" customHeight="false" outlineLevel="0" collapsed="false">
      <c r="A45" s="2" t="n">
        <v>44</v>
      </c>
      <c r="B45" s="10" t="s">
        <v>94</v>
      </c>
      <c r="C45" s="4" t="s">
        <v>103</v>
      </c>
      <c r="D45" s="4" t="s">
        <v>104</v>
      </c>
      <c r="E45" s="2" t="s">
        <v>13</v>
      </c>
      <c r="F45" s="2"/>
      <c r="G45" s="5"/>
      <c r="H45" s="2" t="s">
        <v>14</v>
      </c>
      <c r="I45" s="6" t="n">
        <v>0</v>
      </c>
      <c r="J45" s="4"/>
    </row>
    <row r="46" customFormat="false" ht="23.85" hidden="false" customHeight="false" outlineLevel="0" collapsed="false">
      <c r="A46" s="2" t="n">
        <v>45</v>
      </c>
      <c r="B46" s="10" t="s">
        <v>94</v>
      </c>
      <c r="C46" s="4" t="s">
        <v>105</v>
      </c>
      <c r="D46" s="4" t="s">
        <v>106</v>
      </c>
      <c r="E46" s="2" t="s">
        <v>13</v>
      </c>
      <c r="F46" s="2"/>
      <c r="G46" s="5"/>
      <c r="H46" s="2" t="s">
        <v>14</v>
      </c>
      <c r="I46" s="6" t="n">
        <v>0</v>
      </c>
      <c r="J46" s="4"/>
    </row>
    <row r="47" customFormat="false" ht="15" hidden="false" customHeight="false" outlineLevel="0" collapsed="false">
      <c r="A47" s="2" t="n">
        <v>46</v>
      </c>
      <c r="B47" s="10" t="s">
        <v>94</v>
      </c>
      <c r="C47" s="4" t="s">
        <v>107</v>
      </c>
      <c r="D47" s="4" t="s">
        <v>108</v>
      </c>
      <c r="E47" s="2" t="s">
        <v>13</v>
      </c>
      <c r="F47" s="2"/>
      <c r="G47" s="5"/>
      <c r="H47" s="2" t="s">
        <v>14</v>
      </c>
      <c r="I47" s="6" t="n">
        <v>0</v>
      </c>
      <c r="J47" s="4"/>
    </row>
    <row r="48" customFormat="false" ht="23.85" hidden="false" customHeight="false" outlineLevel="0" collapsed="false">
      <c r="A48" s="2" t="n">
        <v>47</v>
      </c>
      <c r="B48" s="10" t="s">
        <v>94</v>
      </c>
      <c r="C48" s="4" t="s">
        <v>109</v>
      </c>
      <c r="D48" s="4" t="s">
        <v>110</v>
      </c>
      <c r="E48" s="2" t="s">
        <v>13</v>
      </c>
      <c r="F48" s="2"/>
      <c r="G48" s="5"/>
      <c r="H48" s="2" t="s">
        <v>14</v>
      </c>
      <c r="I48" s="6" t="n">
        <v>0</v>
      </c>
      <c r="J48" s="4"/>
    </row>
    <row r="49" customFormat="false" ht="23.85" hidden="false" customHeight="false" outlineLevel="0" collapsed="false">
      <c r="A49" s="2" t="n">
        <v>48</v>
      </c>
      <c r="B49" s="10" t="s">
        <v>94</v>
      </c>
      <c r="C49" s="4" t="s">
        <v>111</v>
      </c>
      <c r="D49" s="4" t="s">
        <v>112</v>
      </c>
      <c r="E49" s="2" t="s">
        <v>13</v>
      </c>
      <c r="F49" s="2"/>
      <c r="G49" s="5"/>
      <c r="H49" s="2" t="s">
        <v>14</v>
      </c>
      <c r="I49" s="6" t="n">
        <v>0</v>
      </c>
      <c r="J49" s="4"/>
    </row>
  </sheetData>
  <autoFilter ref="A1:J49"/>
  <conditionalFormatting sqref="H2:H49">
    <cfRule type="expression" priority="2" aboveAverage="0" equalAverage="0" bottom="0" percent="0" rank="0" text="" dxfId="10">
      <formula>$H2="Complete"</formula>
    </cfRule>
    <cfRule type="expression" priority="3" aboveAverage="0" equalAverage="0" bottom="0" percent="0" rank="0" text="" dxfId="11">
      <formula>$H2="In Progress"</formula>
    </cfRule>
    <cfRule type="expression" priority="4" aboveAverage="0" equalAverage="0" bottom="0" percent="0" rank="0" text="" dxfId="12">
      <formula>$H2="Not Started"</formula>
    </cfRule>
    <cfRule type="expression" priority="5" aboveAverage="0" equalAverage="0" bottom="0" percent="0" rank="0" text="" dxfId="13">
      <formula>$H2="At Risk"</formula>
    </cfRule>
    <cfRule type="expression" priority="6" aboveAverage="0" equalAverage="0" bottom="0" percent="0" rank="0" text="" dxfId="14">
      <formula>$H2="Blocked"</formula>
    </cfRule>
  </conditionalFormatting>
  <dataValidations count="3">
    <dataValidation allowBlank="true" errorStyle="stop" operator="between" showDropDown="false" showErrorMessage="false" showInputMessage="false" sqref="H2:H49" type="list">
      <formula1>"Not Started,In Progress,Complete,At Risk,Blocked,N/A"</formula1>
      <formula2>0</formula2>
    </dataValidation>
    <dataValidation allowBlank="true" errorStyle="stop" operator="between" showDropDown="false" showErrorMessage="false" showInputMessage="false" sqref="E2:E49" type="list">
      <formula1>"Y,N"</formula1>
      <formula2>0</formula2>
    </dataValidation>
    <dataValidation allowBlank="true" errorStyle="stop" operator="between" showDropDown="false" showErrorMessage="false" showInputMessage="false" sqref="I2:I49" type="list">
      <formula1>"0%,10%,20%,30%,40%,50%,60%,70%,80%,90%,100%"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2"/>
    <col collapsed="false" customWidth="true" hidden="false" outlineLevel="0" max="4" min="4" style="0" width="34"/>
    <col collapsed="false" customWidth="true" hidden="false" outlineLevel="0" max="7" min="5" style="0" width="12"/>
  </cols>
  <sheetData>
    <row r="1" customFormat="false" ht="19.7" hidden="false" customHeight="false" outlineLevel="0" collapsed="false">
      <c r="A1" s="11" t="s">
        <v>113</v>
      </c>
      <c r="B1" s="11"/>
      <c r="C1" s="11"/>
      <c r="D1" s="11"/>
    </row>
    <row r="2" customFormat="false" ht="15" hidden="false" customHeight="false" outlineLevel="0" collapsed="false">
      <c r="A2" s="12" t="s">
        <v>114</v>
      </c>
      <c r="B2" s="12"/>
      <c r="C2" s="12"/>
      <c r="D2" s="12"/>
    </row>
    <row r="4" customFormat="false" ht="15" hidden="false" customHeight="false" outlineLevel="0" collapsed="false">
      <c r="A4" s="13" t="s">
        <v>7</v>
      </c>
      <c r="B4" s="13" t="s">
        <v>115</v>
      </c>
      <c r="D4" s="13" t="s">
        <v>1</v>
      </c>
      <c r="E4" s="13" t="s">
        <v>116</v>
      </c>
      <c r="F4" s="13" t="s">
        <v>117</v>
      </c>
      <c r="G4" s="13" t="s">
        <v>8</v>
      </c>
    </row>
    <row r="5" customFormat="false" ht="15" hidden="false" customHeight="false" outlineLevel="0" collapsed="false">
      <c r="A5" s="14" t="s">
        <v>14</v>
      </c>
      <c r="B5" s="14" t="n">
        <f aca="false">COUNTIF('APQP Tracker'!$H$2:$H$49,A5)</f>
        <v>48</v>
      </c>
      <c r="D5" s="14" t="s">
        <v>10</v>
      </c>
      <c r="E5" s="14" t="n">
        <f aca="false">COUNTIF('APQP Tracker'!$B$2:$B$49,D5)</f>
        <v>8</v>
      </c>
      <c r="F5" s="14" t="n">
        <f aca="false">COUNTIFS('APQP Tracker'!$B$2:$B$49,D5,'APQP Tracker'!$H$2:$H$49,"Complete")</f>
        <v>0</v>
      </c>
      <c r="G5" s="15" t="n">
        <f aca="false">IF(E5=0,0,F5/E5)</f>
        <v>0</v>
      </c>
    </row>
    <row r="6" customFormat="false" ht="15" hidden="false" customHeight="false" outlineLevel="0" collapsed="false">
      <c r="A6" s="14" t="s">
        <v>118</v>
      </c>
      <c r="B6" s="14" t="n">
        <f aca="false">COUNTIF('APQP Tracker'!$H$2:$H$49,A6)</f>
        <v>0</v>
      </c>
      <c r="D6" s="14" t="s">
        <v>29</v>
      </c>
      <c r="E6" s="14" t="n">
        <f aca="false">COUNTIF('APQP Tracker'!$B$2:$B$49,D6)</f>
        <v>9</v>
      </c>
      <c r="F6" s="14" t="n">
        <f aca="false">COUNTIFS('APQP Tracker'!$B$2:$B$49,D6,'APQP Tracker'!$H$2:$H$49,"Complete")</f>
        <v>0</v>
      </c>
      <c r="G6" s="15" t="n">
        <f aca="false">IF(E6=0,0,F6/E6)</f>
        <v>0</v>
      </c>
    </row>
    <row r="7" customFormat="false" ht="15" hidden="false" customHeight="false" outlineLevel="0" collapsed="false">
      <c r="A7" s="14" t="s">
        <v>117</v>
      </c>
      <c r="B7" s="14" t="n">
        <f aca="false">COUNTIF('APQP Tracker'!$H$2:$H$49,A7)</f>
        <v>0</v>
      </c>
      <c r="D7" s="14" t="s">
        <v>49</v>
      </c>
      <c r="E7" s="14" t="n">
        <f aca="false">COUNTIF('APQP Tracker'!$B$2:$B$49,D7)</f>
        <v>13</v>
      </c>
      <c r="F7" s="14" t="n">
        <f aca="false">COUNTIFS('APQP Tracker'!$B$2:$B$49,D7,'APQP Tracker'!$H$2:$H$49,"Complete")</f>
        <v>0</v>
      </c>
      <c r="G7" s="15" t="n">
        <f aca="false">IF(E7=0,0,F7/E7)</f>
        <v>0</v>
      </c>
    </row>
    <row r="8" customFormat="false" ht="15" hidden="false" customHeight="false" outlineLevel="0" collapsed="false">
      <c r="A8" s="14" t="s">
        <v>119</v>
      </c>
      <c r="B8" s="14" t="n">
        <f aca="false">COUNTIF('APQP Tracker'!$H$2:$H$49,A8)</f>
        <v>0</v>
      </c>
      <c r="D8" s="14" t="s">
        <v>76</v>
      </c>
      <c r="E8" s="14" t="n">
        <f aca="false">COUNTIF('APQP Tracker'!$B$2:$B$49,D8)</f>
        <v>9</v>
      </c>
      <c r="F8" s="14" t="n">
        <f aca="false">COUNTIFS('APQP Tracker'!$B$2:$B$49,D8,'APQP Tracker'!$H$2:$H$49,"Complete")</f>
        <v>0</v>
      </c>
      <c r="G8" s="15" t="n">
        <f aca="false">IF(E8=0,0,F8/E8)</f>
        <v>0</v>
      </c>
    </row>
    <row r="9" customFormat="false" ht="15" hidden="false" customHeight="false" outlineLevel="0" collapsed="false">
      <c r="A9" s="14" t="s">
        <v>120</v>
      </c>
      <c r="B9" s="14" t="n">
        <f aca="false">COUNTIF('APQP Tracker'!$H$2:$H$49,A9)</f>
        <v>0</v>
      </c>
      <c r="D9" s="14" t="s">
        <v>94</v>
      </c>
      <c r="E9" s="14" t="n">
        <f aca="false">COUNTIF('APQP Tracker'!$B$2:$B$49,D9)</f>
        <v>9</v>
      </c>
      <c r="F9" s="14" t="n">
        <f aca="false">COUNTIFS('APQP Tracker'!$B$2:$B$49,D9,'APQP Tracker'!$H$2:$H$49,"Complete")</f>
        <v>0</v>
      </c>
      <c r="G9" s="15" t="n">
        <f aca="false">IF(E9=0,0,F9/E9)</f>
        <v>0</v>
      </c>
    </row>
    <row r="10" customFormat="false" ht="15" hidden="false" customHeight="false" outlineLevel="0" collapsed="false">
      <c r="A10" s="14" t="s">
        <v>121</v>
      </c>
      <c r="B10" s="14" t="n">
        <f aca="false">COUNTIF('APQP Tracker'!$H$2:$H$49,A10)</f>
        <v>0</v>
      </c>
    </row>
    <row r="11" customFormat="false" ht="15" hidden="false" customHeight="false" outlineLevel="0" collapsed="false">
      <c r="A11" s="13" t="s">
        <v>122</v>
      </c>
      <c r="B11" s="13" t="n">
        <f aca="false">COUNTA('APQP Tracker'!$C$2:$C$49)</f>
        <v>48</v>
      </c>
    </row>
    <row r="13" customFormat="false" ht="15" hidden="false" customHeight="false" outlineLevel="0" collapsed="false">
      <c r="A13" s="13" t="s">
        <v>123</v>
      </c>
    </row>
    <row r="14" customFormat="false" ht="15" hidden="false" customHeight="false" outlineLevel="0" collapsed="false">
      <c r="A14" s="14" t="s">
        <v>124</v>
      </c>
      <c r="B14" s="14" t="n">
        <f aca="false">COUNTIF('APQP Tracker'!$E$2:$E$49,"Y")</f>
        <v>12</v>
      </c>
    </row>
    <row r="15" customFormat="false" ht="15" hidden="false" customHeight="false" outlineLevel="0" collapsed="false">
      <c r="A15" s="14" t="s">
        <v>125</v>
      </c>
      <c r="B15" s="14" t="n">
        <f aca="false">COUNTIFS('APQP Tracker'!$E$2:$E$49,"Y",'APQP Tracker'!$H$2:$H$49,"Complete")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2026-09-11T15:55:49Z</dcterms:created>
  <dc:creator>openpyxl</dc:creator>
  <dc:description/>
  <dc:language>en-US</dc:language>
  <cp:lastModifiedBy/>
  <dcterms:modified xsi:type="dcterms:W3CDTF">2026-09-11T15:55:49Z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